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lass Analysis\"/>
    </mc:Choice>
  </mc:AlternateContent>
  <xr:revisionPtr revIDLastSave="0" documentId="8_{D3105F7A-022D-46DC-89D9-CB38F856B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F26" i="1" s="1"/>
  <c r="D22" i="1"/>
  <c r="F22" i="1" s="1"/>
  <c r="D27" i="1"/>
  <c r="F27" i="1" s="1"/>
  <c r="D25" i="1"/>
  <c r="F25" i="1" s="1"/>
</calcChain>
</file>

<file path=xl/sharedStrings.xml><?xml version="1.0" encoding="utf-8"?>
<sst xmlns="http://schemas.openxmlformats.org/spreadsheetml/2006/main" count="70" uniqueCount="48">
  <si>
    <t>Academic Year 2027-2028</t>
  </si>
  <si>
    <t>Academic Year 2028-2029</t>
  </si>
  <si>
    <t>Number of students exiting</t>
  </si>
  <si>
    <t>Number of students incoming</t>
  </si>
  <si>
    <t>Total number of students in the Academic Year</t>
  </si>
  <si>
    <t>STUDENTS</t>
  </si>
  <si>
    <t>CLASSROOMS</t>
  </si>
  <si>
    <t>Classrooms</t>
  </si>
  <si>
    <t>Available</t>
  </si>
  <si>
    <t>2027-2028 Required</t>
  </si>
  <si>
    <t>2028-2029 Required</t>
  </si>
  <si>
    <t>2027-2028 Deficit</t>
  </si>
  <si>
    <t>No.of 60 seating</t>
  </si>
  <si>
    <t>No.of 45 seating</t>
  </si>
  <si>
    <t>No.of 30 seating</t>
  </si>
  <si>
    <t>RTC S&amp;H</t>
  </si>
  <si>
    <t>RTC II year</t>
  </si>
  <si>
    <t>RTC III year</t>
  </si>
  <si>
    <t>RTC IV year</t>
  </si>
  <si>
    <t>RGU I year</t>
  </si>
  <si>
    <t>RGU II year</t>
  </si>
  <si>
    <t>RGU III year</t>
  </si>
  <si>
    <t>Intellect Science</t>
  </si>
  <si>
    <t>Intellect Engineering</t>
  </si>
  <si>
    <t>Intellect MBA</t>
  </si>
  <si>
    <t>MCA</t>
  </si>
  <si>
    <t>MBA</t>
  </si>
  <si>
    <t>-</t>
  </si>
  <si>
    <t>Learning Hubs</t>
  </si>
  <si>
    <t>Brand Builder Studio</t>
  </si>
  <si>
    <t>MBA Seminar Hall</t>
  </si>
  <si>
    <t>2028-2029 Deficit (excluding 27-28)</t>
  </si>
  <si>
    <t>LABORATORIES</t>
  </si>
  <si>
    <t>Laboratories</t>
  </si>
  <si>
    <t>Hardware lab</t>
  </si>
  <si>
    <t>Computer lab</t>
  </si>
  <si>
    <t>Note :
1. No.of classrooms required for 2026-2027 : 13
2. No.of BBS required for 2026-2027 : 01</t>
  </si>
  <si>
    <t>2027-2028 Deficit (excluding 26-27)</t>
  </si>
  <si>
    <t>2028-2029 Deficit (excluding 26-27&amp;27-28)</t>
  </si>
  <si>
    <t>Note :
1. No.of hardware labs required for 2026-2027 : 0
2. No.of computer labs required for 2026-2027 : 4</t>
  </si>
  <si>
    <t>FACULTY ROOMS</t>
  </si>
  <si>
    <t>Department faculty Rooms</t>
  </si>
  <si>
    <t>Note :
1. No.of faculty rooms required for 2026-2027 : 2</t>
  </si>
  <si>
    <t>Admin faculty Rooms - Office, IQAC, Placement, HR</t>
  </si>
  <si>
    <t>Pantry</t>
  </si>
  <si>
    <t>Faculty Recreation Room</t>
  </si>
  <si>
    <t>UTILITIES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</si>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</sst>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A32" sqref="A32"/>
    </sheetView>
  </sheetViews>
  <sheetFormatPr defaultRowHeight="14.4" x14ac:dyDescent="0.3"/>
  <cols>
    <col min="1" max="1" width="44" customWidth="1"/>
    <col min="2" max="3" width="22.44140625" bestFit="1" customWidth="1"/>
    <col min="4" max="4" width="30.21875" bestFit="1" customWidth="1"/>
    <col min="5" max="5" width="17.5546875" bestFit="1" customWidth="1"/>
    <col min="6" max="6" width="36.33203125" bestFit="1" customWidth="1"/>
  </cols>
  <sheetData>
    <row r="1" spans="1:3" x14ac:dyDescent="0.3">
      <c r="A1" s="1" t="s">
        <v>5</v>
      </c>
    </row>
    <row r="2" spans="1:3" x14ac:dyDescent="0.3">
      <c r="B2" t="s">
        <v>0</v>
      </c>
      <c r="C2" t="s">
        <v>1</v>
      </c>
    </row>
    <row r="3" spans="1:3" x14ac:dyDescent="0.3">
      <c r="A3" t="s">
        <v>2</v>
      </c>
      <c r="B3">
        <v>859</v>
      </c>
      <c r="C3">
        <v>1488</v>
      </c>
    </row>
    <row r="4" spans="1:3" x14ac:dyDescent="0.3">
      <c r="A4" t="s">
        <v>3</v>
      </c>
      <c r="B4">
        <v>2920</v>
      </c>
      <c r="C4">
        <v>3160</v>
      </c>
    </row>
    <row r="5" spans="1:3" x14ac:dyDescent="0.3">
      <c r="A5" t="s">
        <v>4</v>
      </c>
    </row>
    <row r="6" spans="1:3" x14ac:dyDescent="0.3">
      <c r="A6" s="2" t="s">
        <v>15</v>
      </c>
      <c r="B6">
        <v>1800</v>
      </c>
      <c r="C6">
        <v>1980</v>
      </c>
    </row>
    <row r="7" spans="1:3" x14ac:dyDescent="0.3">
      <c r="A7" s="2" t="s">
        <v>16</v>
      </c>
      <c r="B7">
        <v>1560</v>
      </c>
      <c r="C7">
        <v>1800</v>
      </c>
    </row>
    <row r="8" spans="1:3" x14ac:dyDescent="0.3">
      <c r="A8" s="2" t="s">
        <v>17</v>
      </c>
      <c r="B8">
        <v>1290</v>
      </c>
      <c r="C8">
        <v>1560</v>
      </c>
    </row>
    <row r="9" spans="1:3" x14ac:dyDescent="0.3">
      <c r="A9" s="2" t="s">
        <v>18</v>
      </c>
      <c r="B9">
        <v>990</v>
      </c>
      <c r="C9">
        <v>1290</v>
      </c>
    </row>
    <row r="10" spans="1:3" x14ac:dyDescent="0.3">
      <c r="A10" s="2" t="s">
        <v>25</v>
      </c>
      <c r="B10">
        <v>240</v>
      </c>
      <c r="C10">
        <v>240</v>
      </c>
    </row>
    <row r="11" spans="1:3" x14ac:dyDescent="0.3">
      <c r="A11" s="2" t="s">
        <v>26</v>
      </c>
      <c r="B11">
        <v>240</v>
      </c>
      <c r="C11">
        <v>240</v>
      </c>
    </row>
    <row r="12" spans="1:3" x14ac:dyDescent="0.3">
      <c r="A12" s="2" t="s">
        <v>19</v>
      </c>
      <c r="B12">
        <v>420</v>
      </c>
      <c r="C12">
        <v>480</v>
      </c>
    </row>
    <row r="13" spans="1:3" x14ac:dyDescent="0.3">
      <c r="A13" s="2" t="s">
        <v>20</v>
      </c>
      <c r="B13">
        <v>98</v>
      </c>
      <c r="C13">
        <v>120</v>
      </c>
    </row>
    <row r="14" spans="1:3" x14ac:dyDescent="0.3">
      <c r="A14" s="2" t="s">
        <v>21</v>
      </c>
      <c r="B14" t="s">
        <v>27</v>
      </c>
      <c r="C14">
        <v>98</v>
      </c>
    </row>
    <row r="15" spans="1:3" x14ac:dyDescent="0.3">
      <c r="A15" s="2" t="s">
        <v>22</v>
      </c>
      <c r="B15">
        <v>506</v>
      </c>
      <c r="C15">
        <v>609</v>
      </c>
    </row>
    <row r="16" spans="1:3" x14ac:dyDescent="0.3">
      <c r="A16" s="2" t="s">
        <v>23</v>
      </c>
      <c r="B16">
        <v>649</v>
      </c>
      <c r="C16">
        <v>746</v>
      </c>
    </row>
    <row r="17" spans="1:6" x14ac:dyDescent="0.3">
      <c r="A17" s="2" t="s">
        <v>24</v>
      </c>
      <c r="B17">
        <v>118</v>
      </c>
      <c r="C17">
        <v>120</v>
      </c>
    </row>
    <row r="18" spans="1:6" x14ac:dyDescent="0.3">
      <c r="A18" s="2" t="s">
        <v>4</v>
      </c>
      <c r="B18">
        <v>7911</v>
      </c>
      <c r="C18">
        <v>9283</v>
      </c>
    </row>
    <row r="20" spans="1:6" x14ac:dyDescent="0.3">
      <c r="A20" s="1" t="s">
        <v>6</v>
      </c>
    </row>
    <row r="21" spans="1:6" x14ac:dyDescent="0.3">
      <c r="A21" s="9" t="s">
        <v>7</v>
      </c>
      <c r="B21" s="3" t="s">
        <v>8</v>
      </c>
      <c r="C21" s="6" t="s">
        <v>9</v>
      </c>
      <c r="D21" s="5" t="s">
        <v>37</v>
      </c>
      <c r="E21" s="7" t="s">
        <v>10</v>
      </c>
      <c r="F21" s="7" t="s">
        <v>38</v>
      </c>
    </row>
    <row r="22" spans="1:6" x14ac:dyDescent="0.3">
      <c r="A22" s="9" t="s">
        <v>12</v>
      </c>
      <c r="B22" s="4">
        <v>59</v>
      </c>
      <c r="C22" s="6">
        <v>101</v>
      </c>
      <c r="D22" s="6">
        <f>C22-B22-13</f>
        <v>29</v>
      </c>
      <c r="E22" s="8">
        <v>123</v>
      </c>
      <c r="F22" s="8">
        <f>E22-B22-D22-13</f>
        <v>22</v>
      </c>
    </row>
    <row r="23" spans="1:6" x14ac:dyDescent="0.3">
      <c r="A23" s="9" t="s">
        <v>13</v>
      </c>
      <c r="B23" s="4" t="s">
        <v>27</v>
      </c>
      <c r="C23" s="6" t="s">
        <v>27</v>
      </c>
      <c r="D23" s="6" t="s">
        <v>27</v>
      </c>
      <c r="E23" s="8" t="s">
        <v>27</v>
      </c>
      <c r="F23" s="8" t="s">
        <v>27</v>
      </c>
    </row>
    <row r="24" spans="1:6" x14ac:dyDescent="0.3">
      <c r="A24" s="9" t="s">
        <v>14</v>
      </c>
      <c r="B24" s="4" t="s">
        <v>27</v>
      </c>
      <c r="C24" s="6">
        <v>6</v>
      </c>
      <c r="D24" s="6">
        <v>6</v>
      </c>
      <c r="E24" s="8">
        <v>3</v>
      </c>
      <c r="F24" s="8" t="s">
        <v>27</v>
      </c>
    </row>
    <row r="25" spans="1:6" x14ac:dyDescent="0.3">
      <c r="A25" s="9" t="s">
        <v>28</v>
      </c>
      <c r="B25" s="4">
        <v>9</v>
      </c>
      <c r="C25" s="6">
        <v>13</v>
      </c>
      <c r="D25" s="6">
        <f>C25-B25</f>
        <v>4</v>
      </c>
      <c r="E25" s="8">
        <v>16</v>
      </c>
      <c r="F25" s="8">
        <f>E25-B25-D25</f>
        <v>3</v>
      </c>
    </row>
    <row r="26" spans="1:6" x14ac:dyDescent="0.3">
      <c r="A26" s="9" t="s">
        <v>29</v>
      </c>
      <c r="B26" s="4">
        <v>3</v>
      </c>
      <c r="C26" s="6">
        <v>4</v>
      </c>
      <c r="D26" s="6">
        <f>C26-B26-1</f>
        <v>0</v>
      </c>
      <c r="E26" s="8">
        <v>4</v>
      </c>
      <c r="F26" s="8">
        <f>E26-B26-D26-1</f>
        <v>0</v>
      </c>
    </row>
    <row r="27" spans="1:6" x14ac:dyDescent="0.3">
      <c r="A27" s="9" t="s">
        <v>30</v>
      </c>
      <c r="B27" s="4">
        <v>2</v>
      </c>
      <c r="C27" s="6">
        <v>2</v>
      </c>
      <c r="D27" s="6">
        <f t="shared" ref="D27" si="0">C27-B27</f>
        <v>0</v>
      </c>
      <c r="E27" s="8">
        <v>2</v>
      </c>
      <c r="F27" s="8">
        <f>E27-B27-D27</f>
        <v>0</v>
      </c>
    </row>
    <row r="28" spans="1:6" ht="43.2" x14ac:dyDescent="0.3">
      <c r="A28" s="11" t="s">
        <v>36</v>
      </c>
      <c r="B28" s="10"/>
      <c r="C28" s="10"/>
      <c r="D28" s="10"/>
      <c r="E28" s="10"/>
      <c r="F28" s="10"/>
    </row>
    <row r="30" spans="1:6" x14ac:dyDescent="0.3">
      <c r="A30" s="1" t="s">
        <v>32</v>
      </c>
    </row>
    <row r="31" spans="1:6" x14ac:dyDescent="0.3">
      <c r="A31" s="9" t="s">
        <v>33</v>
      </c>
      <c r="B31" s="3" t="s">
        <v>8</v>
      </c>
      <c r="C31" s="6" t="s">
        <v>9</v>
      </c>
      <c r="D31" s="6" t="s">
        <v>37</v>
      </c>
      <c r="E31" s="8" t="s">
        <v>10</v>
      </c>
      <c r="F31" s="8" t="s">
        <v>38</v>
      </c>
    </row>
    <row r="32" spans="1:6" x14ac:dyDescent="0.3">
      <c r="A32" s="9" t="s">
        <v>34</v>
      </c>
      <c r="B32" s="3">
        <v>16</v>
      </c>
      <c r="C32" s="6">
        <v>18</v>
      </c>
      <c r="D32" s="6">
        <v>2</v>
      </c>
      <c r="E32" s="8">
        <v>20</v>
      </c>
      <c r="F32" s="8">
        <v>2</v>
      </c>
    </row>
    <row r="33" spans="1:6" x14ac:dyDescent="0.3">
      <c r="A33" s="9" t="s">
        <v>35</v>
      </c>
      <c r="B33" s="3">
        <v>6</v>
      </c>
      <c r="C33" s="6">
        <v>10</v>
      </c>
      <c r="D33" s="6">
        <v>0</v>
      </c>
      <c r="E33" s="8">
        <v>13</v>
      </c>
      <c r="F33" s="8">
        <v>3</v>
      </c>
    </row>
    <row r="34" spans="1:6" ht="43.2" x14ac:dyDescent="0.3">
      <c r="A34" s="11" t="s">
        <v>39</v>
      </c>
    </row>
    <row r="36" spans="1:6" x14ac:dyDescent="0.3">
      <c r="A36" s="1" t="s">
        <v>40</v>
      </c>
    </row>
    <row r="37" spans="1:6" x14ac:dyDescent="0.3">
      <c r="A37" s="9" t="s">
        <v>33</v>
      </c>
      <c r="B37" s="3" t="s">
        <v>8</v>
      </c>
      <c r="C37" s="6" t="s">
        <v>9</v>
      </c>
      <c r="D37" s="6" t="s">
        <v>37</v>
      </c>
      <c r="E37" s="8" t="s">
        <v>10</v>
      </c>
      <c r="F37" s="8" t="s">
        <v>38</v>
      </c>
    </row>
    <row r="38" spans="1:6" x14ac:dyDescent="0.3">
      <c r="A38" s="9" t="s">
        <v>41</v>
      </c>
      <c r="B38" s="3">
        <v>11</v>
      </c>
      <c r="C38" s="6">
        <v>15</v>
      </c>
      <c r="D38" s="6">
        <v>2</v>
      </c>
      <c r="E38" s="8">
        <v>18</v>
      </c>
      <c r="F38" s="8">
        <v>3</v>
      </c>
    </row>
    <row r="39" spans="1:6" x14ac:dyDescent="0.3">
      <c r="A39" s="9" t="s">
        <v>43</v>
      </c>
      <c r="B39" s="3">
        <v>5</v>
      </c>
      <c r="C39" s="6">
        <v>5</v>
      </c>
      <c r="D39" s="6">
        <v>0</v>
      </c>
      <c r="E39" s="8">
        <v>5</v>
      </c>
      <c r="F39" s="8">
        <v>0</v>
      </c>
    </row>
    <row r="40" spans="1:6" ht="28.8" x14ac:dyDescent="0.3">
      <c r="A40" s="11" t="s">
        <v>42</v>
      </c>
    </row>
    <row r="42" spans="1:6" x14ac:dyDescent="0.3">
      <c r="A42" s="1" t="s">
        <v>46</v>
      </c>
    </row>
    <row r="43" spans="1:6" x14ac:dyDescent="0.3">
      <c r="A43" s="9" t="s">
        <v>47</v>
      </c>
      <c r="B43" s="3" t="s">
        <v>8</v>
      </c>
      <c r="C43" s="6" t="s">
        <v>9</v>
      </c>
      <c r="D43" s="6" t="s">
        <v>11</v>
      </c>
      <c r="E43" s="8" t="s">
        <v>10</v>
      </c>
      <c r="F43" s="8" t="s">
        <v>31</v>
      </c>
    </row>
    <row r="44" spans="1:6" x14ac:dyDescent="0.3">
      <c r="A44" s="9" t="s">
        <v>44</v>
      </c>
      <c r="B44" s="3">
        <v>0</v>
      </c>
      <c r="C44" s="6">
        <v>1</v>
      </c>
      <c r="D44" s="6">
        <v>1</v>
      </c>
      <c r="E44" s="8">
        <v>1</v>
      </c>
      <c r="F44" s="8">
        <v>0</v>
      </c>
    </row>
    <row r="45" spans="1:6" x14ac:dyDescent="0.3">
      <c r="A45" s="9" t="s">
        <v>45</v>
      </c>
      <c r="B45" s="3">
        <v>0</v>
      </c>
      <c r="C45" s="6">
        <v>1</v>
      </c>
      <c r="D45" s="6">
        <v>1</v>
      </c>
      <c r="E45" s="8">
        <v>1</v>
      </c>
      <c r="F45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Aravind T | Asst. Professor | RTC</cp:lastModifiedBy>
  <dcterms:created xsi:type="dcterms:W3CDTF">2015-06-05T18:17:20Z</dcterms:created>
  <dcterms:modified xsi:type="dcterms:W3CDTF">2026-08-11T10:39:27Z</dcterms:modified>
</cp:coreProperties>
</file>