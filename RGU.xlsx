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lass Analysis\"/>
    </mc:Choice>
  </mc:AlternateContent>
  <xr:revisionPtr revIDLastSave="0" documentId="13_ncr:1_{5606C85E-D8D9-4407-9EEC-4222122A0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D40" i="1"/>
  <c r="D39" i="1"/>
  <c r="F34" i="1"/>
  <c r="F33" i="1"/>
  <c r="F32" i="1"/>
  <c r="D34" i="1"/>
  <c r="D33" i="1"/>
  <c r="D32" i="1"/>
  <c r="D22" i="1"/>
  <c r="F22" i="1" s="1"/>
  <c r="D26" i="1"/>
  <c r="F26" i="1" s="1"/>
  <c r="D24" i="1"/>
  <c r="D23" i="1"/>
  <c r="B8" i="1"/>
  <c r="B7" i="1"/>
  <c r="B18" i="1" s="1"/>
  <c r="C18" i="1"/>
  <c r="D27" i="1" l="1"/>
  <c r="F27" i="1" s="1"/>
  <c r="D25" i="1"/>
  <c r="F25" i="1" s="1"/>
</calcChain>
</file>

<file path=xl/sharedStrings.xml><?xml version="1.0" encoding="utf-8"?>
<sst xmlns="http://schemas.openxmlformats.org/spreadsheetml/2006/main" count="66" uniqueCount="51">
  <si>
    <t>Academic Year 2027-2028</t>
  </si>
  <si>
    <t>Academic Year 2028-2029</t>
  </si>
  <si>
    <t>Number of students exiting</t>
  </si>
  <si>
    <t>Number of students incoming</t>
  </si>
  <si>
    <t>Total number of students in the Academic Year</t>
  </si>
  <si>
    <t>STUDENTS</t>
  </si>
  <si>
    <t>CLASSROOMS</t>
  </si>
  <si>
    <t>Classrooms</t>
  </si>
  <si>
    <t>Available</t>
  </si>
  <si>
    <t>2027-2028 Required</t>
  </si>
  <si>
    <t>2028-2029 Required</t>
  </si>
  <si>
    <t>2027-2028 Deficit</t>
  </si>
  <si>
    <t>No.of 60 seating</t>
  </si>
  <si>
    <t>No.of 45 seating</t>
  </si>
  <si>
    <t>No.of 30 seating</t>
  </si>
  <si>
    <t>Intellect Science</t>
  </si>
  <si>
    <t>Intellect Engineering</t>
  </si>
  <si>
    <t>Intellect MBA</t>
  </si>
  <si>
    <t>MBA</t>
  </si>
  <si>
    <t>-</t>
  </si>
  <si>
    <t>Learning Hubs</t>
  </si>
  <si>
    <t>Brand Builder Studio</t>
  </si>
  <si>
    <t>MBA Seminar Hall</t>
  </si>
  <si>
    <t>2028-2029 Deficit (excluding 27-28)</t>
  </si>
  <si>
    <t>LABORATORIES</t>
  </si>
  <si>
    <t>Laboratories</t>
  </si>
  <si>
    <t>Computer lab</t>
  </si>
  <si>
    <t>2027-2028 Deficit (excluding 26-27)</t>
  </si>
  <si>
    <t>2028-2029 Deficit (excluding 26-27&amp;27-28)</t>
  </si>
  <si>
    <t>FACULTY ROOMS</t>
  </si>
  <si>
    <t>Department faculty Rooms</t>
  </si>
  <si>
    <t>Admin faculty Rooms - Office, IQAC, Placement, HR</t>
  </si>
  <si>
    <t>Pantry</t>
  </si>
  <si>
    <t>Faculty Recreation Room</t>
  </si>
  <si>
    <t>UTILITIES</t>
  </si>
  <si>
    <t>RGU I year UG</t>
  </si>
  <si>
    <t>RGU II year UG</t>
  </si>
  <si>
    <t>RGU III year UG</t>
  </si>
  <si>
    <t>RGU I year PG</t>
  </si>
  <si>
    <t>RGU II year PG</t>
  </si>
  <si>
    <t>RGU School of Law</t>
  </si>
  <si>
    <t>RGU School of Engineering</t>
  </si>
  <si>
    <t>Ph.D</t>
  </si>
  <si>
    <t>Science lab</t>
  </si>
  <si>
    <t>Arts Lab</t>
  </si>
  <si>
    <t>Note :
1. No.of Labs required for 2026-2027 : 0
2. No.of computer labs required for 2026-2027 : 0</t>
  </si>
  <si>
    <t>Note :
1. No.of classrooms required for 2026-2027 : 14
2. No.of BBS required for 2026-2027 : 0
3. No.of Classrooms School of Law : 3</t>
  </si>
  <si>
    <t>No.of Staff Room School of Law : 1</t>
  </si>
  <si>
    <t>School of Law Couselling Room : 1</t>
  </si>
  <si>
    <t>Required for 2026-2027 is below</t>
  </si>
  <si>
    <t>Moot Court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</si>
</sst>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29" workbookViewId="0">
      <selection activeCell="B44" sqref="B44"/>
    </sheetView>
  </sheetViews>
  <sheetFormatPr defaultRowHeight="14.4" x14ac:dyDescent="0.3"/>
  <cols>
    <col min="1" max="1" width="44" customWidth="1"/>
    <col min="2" max="2" width="23.44140625" bestFit="1" customWidth="1"/>
    <col min="3" max="3" width="22.44140625" bestFit="1" customWidth="1"/>
    <col min="4" max="4" width="17.109375" customWidth="1"/>
    <col min="5" max="5" width="11.33203125" customWidth="1"/>
    <col min="6" max="6" width="23.5546875" customWidth="1"/>
  </cols>
  <sheetData>
    <row r="1" spans="1:3" x14ac:dyDescent="0.3">
      <c r="A1" s="1" t="s">
        <v>5</v>
      </c>
    </row>
    <row r="2" spans="1:3" x14ac:dyDescent="0.3">
      <c r="B2" s="18" t="s">
        <v>0</v>
      </c>
      <c r="C2" s="18" t="s">
        <v>1</v>
      </c>
    </row>
    <row r="3" spans="1:3" x14ac:dyDescent="0.3">
      <c r="A3" t="s">
        <v>2</v>
      </c>
      <c r="B3" s="18">
        <v>2243</v>
      </c>
      <c r="C3" s="18">
        <v>2680</v>
      </c>
    </row>
    <row r="4" spans="1:3" x14ac:dyDescent="0.3">
      <c r="A4" t="s">
        <v>3</v>
      </c>
      <c r="B4" s="18">
        <v>5200</v>
      </c>
      <c r="C4" s="18">
        <v>5260</v>
      </c>
    </row>
    <row r="5" spans="1:3" x14ac:dyDescent="0.3">
      <c r="A5" t="s">
        <v>4</v>
      </c>
      <c r="B5" s="18"/>
      <c r="C5" s="18"/>
    </row>
    <row r="6" spans="1:3" x14ac:dyDescent="0.3">
      <c r="A6" s="2" t="s">
        <v>35</v>
      </c>
      <c r="B6" s="18">
        <v>3300</v>
      </c>
      <c r="C6" s="18">
        <v>3300</v>
      </c>
    </row>
    <row r="7" spans="1:3" x14ac:dyDescent="0.3">
      <c r="A7" s="2" t="s">
        <v>36</v>
      </c>
      <c r="B7" s="18">
        <f>2498-200</f>
        <v>2298</v>
      </c>
      <c r="C7" s="18">
        <v>3300</v>
      </c>
    </row>
    <row r="8" spans="1:3" x14ac:dyDescent="0.3">
      <c r="A8" s="2" t="s">
        <v>37</v>
      </c>
      <c r="B8" s="18">
        <f>1910-100</f>
        <v>1810</v>
      </c>
      <c r="C8" s="18">
        <v>2298</v>
      </c>
    </row>
    <row r="9" spans="1:3" x14ac:dyDescent="0.3">
      <c r="A9" s="2" t="s">
        <v>18</v>
      </c>
      <c r="B9" s="18">
        <v>270</v>
      </c>
      <c r="C9" s="18">
        <v>300</v>
      </c>
    </row>
    <row r="10" spans="1:3" x14ac:dyDescent="0.3">
      <c r="A10" s="2" t="s">
        <v>38</v>
      </c>
      <c r="B10" s="18">
        <v>500</v>
      </c>
      <c r="C10" s="18">
        <v>500</v>
      </c>
    </row>
    <row r="11" spans="1:3" x14ac:dyDescent="0.3">
      <c r="A11" s="2" t="s">
        <v>39</v>
      </c>
      <c r="B11" s="18">
        <v>400</v>
      </c>
      <c r="C11" s="18">
        <v>500</v>
      </c>
    </row>
    <row r="12" spans="1:3" x14ac:dyDescent="0.3">
      <c r="A12" s="2" t="s">
        <v>40</v>
      </c>
      <c r="B12" s="18">
        <v>720</v>
      </c>
      <c r="C12" s="18">
        <v>1080</v>
      </c>
    </row>
    <row r="13" spans="1:3" x14ac:dyDescent="0.3">
      <c r="A13" s="2" t="s">
        <v>41</v>
      </c>
      <c r="B13" s="18">
        <v>600</v>
      </c>
      <c r="C13" s="18">
        <v>1020</v>
      </c>
    </row>
    <row r="14" spans="1:3" x14ac:dyDescent="0.3">
      <c r="A14" s="2" t="s">
        <v>42</v>
      </c>
      <c r="B14" s="18">
        <v>500</v>
      </c>
      <c r="C14" s="18">
        <v>800</v>
      </c>
    </row>
    <row r="15" spans="1:3" x14ac:dyDescent="0.3">
      <c r="A15" s="2" t="s">
        <v>15</v>
      </c>
      <c r="B15" s="18">
        <v>500</v>
      </c>
      <c r="C15" s="18">
        <v>600</v>
      </c>
    </row>
    <row r="16" spans="1:3" x14ac:dyDescent="0.3">
      <c r="A16" s="2" t="s">
        <v>16</v>
      </c>
      <c r="B16" s="18">
        <v>120</v>
      </c>
      <c r="C16" s="18">
        <v>120</v>
      </c>
    </row>
    <row r="17" spans="1:6" x14ac:dyDescent="0.3">
      <c r="A17" s="2" t="s">
        <v>17</v>
      </c>
      <c r="B17" s="18">
        <v>60</v>
      </c>
      <c r="C17" s="18">
        <v>60</v>
      </c>
    </row>
    <row r="18" spans="1:6" x14ac:dyDescent="0.3">
      <c r="A18" s="2" t="s">
        <v>4</v>
      </c>
      <c r="B18" s="19">
        <f>SUM(B6:B17)</f>
        <v>11078</v>
      </c>
      <c r="C18" s="19">
        <f>SUM(C6:C17)</f>
        <v>13878</v>
      </c>
    </row>
    <row r="20" spans="1:6" x14ac:dyDescent="0.3">
      <c r="A20" s="1" t="s">
        <v>6</v>
      </c>
    </row>
    <row r="21" spans="1:6" s="9" customFormat="1" ht="28.8" x14ac:dyDescent="0.3">
      <c r="A21" s="14" t="s">
        <v>7</v>
      </c>
      <c r="B21" s="15" t="s">
        <v>8</v>
      </c>
      <c r="C21" s="12" t="s">
        <v>9</v>
      </c>
      <c r="D21" s="16" t="s">
        <v>27</v>
      </c>
      <c r="E21" s="17" t="s">
        <v>10</v>
      </c>
      <c r="F21" s="17" t="s">
        <v>28</v>
      </c>
    </row>
    <row r="22" spans="1:6" x14ac:dyDescent="0.3">
      <c r="A22" s="7" t="s">
        <v>12</v>
      </c>
      <c r="B22" s="4">
        <v>89</v>
      </c>
      <c r="C22" s="5">
        <v>177</v>
      </c>
      <c r="D22" s="5">
        <f>C22-B22-14</f>
        <v>74</v>
      </c>
      <c r="E22" s="6">
        <v>226</v>
      </c>
      <c r="F22" s="6">
        <f>E22-B22-D22-17</f>
        <v>46</v>
      </c>
    </row>
    <row r="23" spans="1:6" x14ac:dyDescent="0.3">
      <c r="A23" s="7" t="s">
        <v>13</v>
      </c>
      <c r="B23" s="4">
        <v>5</v>
      </c>
      <c r="C23" s="5">
        <v>5</v>
      </c>
      <c r="D23" s="5">
        <f>C23-B23</f>
        <v>0</v>
      </c>
      <c r="E23" s="6">
        <v>5</v>
      </c>
      <c r="F23" s="6" t="s">
        <v>19</v>
      </c>
    </row>
    <row r="24" spans="1:6" x14ac:dyDescent="0.3">
      <c r="A24" s="7" t="s">
        <v>14</v>
      </c>
      <c r="B24" s="4">
        <v>13</v>
      </c>
      <c r="C24" s="5">
        <v>13</v>
      </c>
      <c r="D24" s="5">
        <f>C24-B24</f>
        <v>0</v>
      </c>
      <c r="E24" s="6">
        <v>13</v>
      </c>
      <c r="F24" s="6" t="s">
        <v>19</v>
      </c>
    </row>
    <row r="25" spans="1:6" x14ac:dyDescent="0.3">
      <c r="A25" s="7" t="s">
        <v>20</v>
      </c>
      <c r="B25" s="4">
        <v>0</v>
      </c>
      <c r="C25" s="5">
        <v>2</v>
      </c>
      <c r="D25" s="5">
        <f>C25-B25</f>
        <v>2</v>
      </c>
      <c r="E25" s="6">
        <v>2</v>
      </c>
      <c r="F25" s="6">
        <f>E25-B25-D25</f>
        <v>0</v>
      </c>
    </row>
    <row r="26" spans="1:6" x14ac:dyDescent="0.3">
      <c r="A26" s="7" t="s">
        <v>21</v>
      </c>
      <c r="B26" s="4">
        <v>0</v>
      </c>
      <c r="C26" s="5">
        <v>1</v>
      </c>
      <c r="D26" s="5">
        <f>C26-B26</f>
        <v>1</v>
      </c>
      <c r="E26" s="6">
        <v>2</v>
      </c>
      <c r="F26" s="6">
        <f>E26-B26-D26</f>
        <v>1</v>
      </c>
    </row>
    <row r="27" spans="1:6" x14ac:dyDescent="0.3">
      <c r="A27" s="7" t="s">
        <v>22</v>
      </c>
      <c r="B27" s="4">
        <v>3</v>
      </c>
      <c r="C27" s="5">
        <v>4</v>
      </c>
      <c r="D27" s="5">
        <f t="shared" ref="D27" si="0">C27-B27</f>
        <v>1</v>
      </c>
      <c r="E27" s="6">
        <v>4</v>
      </c>
      <c r="F27" s="6">
        <f>E27-B27-D27</f>
        <v>0</v>
      </c>
    </row>
    <row r="28" spans="1:6" ht="57.6" x14ac:dyDescent="0.3">
      <c r="A28" s="9" t="s">
        <v>46</v>
      </c>
      <c r="B28" s="8"/>
      <c r="C28" s="8"/>
      <c r="D28" s="8"/>
      <c r="E28" s="8"/>
      <c r="F28" s="8"/>
    </row>
    <row r="30" spans="1:6" x14ac:dyDescent="0.3">
      <c r="A30" s="1" t="s">
        <v>24</v>
      </c>
    </row>
    <row r="31" spans="1:6" ht="28.8" x14ac:dyDescent="0.3">
      <c r="A31" s="7" t="s">
        <v>25</v>
      </c>
      <c r="B31" s="3" t="s">
        <v>8</v>
      </c>
      <c r="C31" s="12" t="s">
        <v>9</v>
      </c>
      <c r="D31" s="12" t="s">
        <v>27</v>
      </c>
      <c r="E31" s="20" t="s">
        <v>10</v>
      </c>
      <c r="F31" s="20" t="s">
        <v>28</v>
      </c>
    </row>
    <row r="32" spans="1:6" x14ac:dyDescent="0.3">
      <c r="A32" s="7" t="s">
        <v>43</v>
      </c>
      <c r="B32" s="3">
        <v>4</v>
      </c>
      <c r="C32" s="5">
        <v>5</v>
      </c>
      <c r="D32" s="5">
        <f>C32-B32</f>
        <v>1</v>
      </c>
      <c r="E32" s="6">
        <v>6</v>
      </c>
      <c r="F32" s="6">
        <f>E32-C32</f>
        <v>1</v>
      </c>
    </row>
    <row r="33" spans="1:6" x14ac:dyDescent="0.3">
      <c r="A33" s="7" t="s">
        <v>44</v>
      </c>
      <c r="B33" s="3">
        <v>3</v>
      </c>
      <c r="C33" s="5">
        <v>4</v>
      </c>
      <c r="D33" s="5">
        <f>C33-B33</f>
        <v>1</v>
      </c>
      <c r="E33" s="6">
        <v>5</v>
      </c>
      <c r="F33" s="6">
        <f>E33-C33</f>
        <v>1</v>
      </c>
    </row>
    <row r="34" spans="1:6" x14ac:dyDescent="0.3">
      <c r="A34" s="7" t="s">
        <v>26</v>
      </c>
      <c r="B34" s="3">
        <v>5</v>
      </c>
      <c r="C34" s="5">
        <v>7</v>
      </c>
      <c r="D34" s="5">
        <f>C34-B34</f>
        <v>2</v>
      </c>
      <c r="E34" s="6">
        <v>8</v>
      </c>
      <c r="F34" s="6">
        <f>E34-C34</f>
        <v>1</v>
      </c>
    </row>
    <row r="35" spans="1:6" ht="43.2" x14ac:dyDescent="0.3">
      <c r="A35" s="9" t="s">
        <v>45</v>
      </c>
    </row>
    <row r="37" spans="1:6" x14ac:dyDescent="0.3">
      <c r="A37" s="1" t="s">
        <v>29</v>
      </c>
    </row>
    <row r="38" spans="1:6" s="13" customFormat="1" ht="28.8" x14ac:dyDescent="0.3">
      <c r="A38" s="10"/>
      <c r="B38" s="11" t="s">
        <v>8</v>
      </c>
      <c r="C38" s="12" t="s">
        <v>9</v>
      </c>
      <c r="D38" s="12" t="s">
        <v>27</v>
      </c>
      <c r="E38" s="20" t="s">
        <v>10</v>
      </c>
      <c r="F38" s="20" t="s">
        <v>28</v>
      </c>
    </row>
    <row r="39" spans="1:6" x14ac:dyDescent="0.3">
      <c r="A39" s="7" t="s">
        <v>30</v>
      </c>
      <c r="B39" s="3">
        <v>15</v>
      </c>
      <c r="C39" s="5">
        <v>19</v>
      </c>
      <c r="D39" s="5">
        <f>C39-B39</f>
        <v>4</v>
      </c>
      <c r="E39" s="6">
        <v>22</v>
      </c>
      <c r="F39" s="6">
        <f>E39-C39</f>
        <v>3</v>
      </c>
    </row>
    <row r="40" spans="1:6" x14ac:dyDescent="0.3">
      <c r="A40" s="7" t="s">
        <v>31</v>
      </c>
      <c r="B40" s="3">
        <v>4</v>
      </c>
      <c r="C40" s="5">
        <v>6</v>
      </c>
      <c r="D40" s="5">
        <f>C40-B40</f>
        <v>2</v>
      </c>
      <c r="E40" s="6">
        <v>9</v>
      </c>
      <c r="F40" s="6">
        <f>E40-C40</f>
        <v>3</v>
      </c>
    </row>
    <row r="41" spans="1:6" x14ac:dyDescent="0.3">
      <c r="A41" s="7" t="s">
        <v>49</v>
      </c>
      <c r="B41" s="3"/>
      <c r="C41" s="5"/>
      <c r="D41" s="5"/>
      <c r="E41" s="6"/>
      <c r="F41" s="6"/>
    </row>
    <row r="42" spans="1:6" x14ac:dyDescent="0.3">
      <c r="A42" s="10" t="s">
        <v>50</v>
      </c>
    </row>
    <row r="43" spans="1:6" x14ac:dyDescent="0.3">
      <c r="A43" s="10" t="s">
        <v>47</v>
      </c>
    </row>
    <row r="44" spans="1:6" x14ac:dyDescent="0.3">
      <c r="A44" s="10" t="s">
        <v>48</v>
      </c>
    </row>
    <row r="46" spans="1:6" x14ac:dyDescent="0.3">
      <c r="A46" s="1" t="s">
        <v>34</v>
      </c>
    </row>
    <row r="47" spans="1:6" s="13" customFormat="1" ht="28.8" x14ac:dyDescent="0.3">
      <c r="A47" s="10"/>
      <c r="B47" s="11" t="s">
        <v>8</v>
      </c>
      <c r="C47" s="12" t="s">
        <v>9</v>
      </c>
      <c r="D47" s="12" t="s">
        <v>11</v>
      </c>
      <c r="E47" s="20" t="s">
        <v>10</v>
      </c>
      <c r="F47" s="20" t="s">
        <v>23</v>
      </c>
    </row>
    <row r="48" spans="1:6" x14ac:dyDescent="0.3">
      <c r="A48" s="7" t="s">
        <v>32</v>
      </c>
      <c r="B48" s="3">
        <v>0</v>
      </c>
      <c r="C48" s="5">
        <v>1</v>
      </c>
      <c r="D48" s="5">
        <v>1</v>
      </c>
      <c r="E48" s="6">
        <v>1</v>
      </c>
      <c r="F48" s="6">
        <v>0</v>
      </c>
    </row>
    <row r="49" spans="1:6" x14ac:dyDescent="0.3">
      <c r="A49" s="7" t="s">
        <v>33</v>
      </c>
      <c r="B49" s="3">
        <v>0</v>
      </c>
      <c r="C49" s="5">
        <v>1</v>
      </c>
      <c r="D49" s="5">
        <v>1</v>
      </c>
      <c r="E49" s="6">
        <v>1</v>
      </c>
      <c r="F49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Aravind T | Asst. Professor | RTC</cp:lastModifiedBy>
  <dcterms:created xsi:type="dcterms:W3CDTF">2015-06-05T18:17:20Z</dcterms:created>
  <dcterms:modified xsi:type="dcterms:W3CDTF">2026-08-13T09:15:43Z</dcterms:modified>
</cp:coreProperties>
</file>